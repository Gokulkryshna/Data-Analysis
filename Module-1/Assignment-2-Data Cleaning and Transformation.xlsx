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14ae65b1a19f7ac/Documents/Desktop/Amba/"/>
    </mc:Choice>
  </mc:AlternateContent>
  <xr:revisionPtr revIDLastSave="0" documentId="8_{C4FB9098-54F6-4795-8E21-79F3B4D7C0E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set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2" i="2" l="1"/>
  <c r="H32" i="2"/>
  <c r="G32" i="2"/>
  <c r="I31" i="2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I2" i="2"/>
  <c r="H2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6" authorId="0" shapeId="0" xr:uid="{00000000-0006-0000-0100-000004000000}">
      <text>
        <r>
          <rPr>
            <sz val="10"/>
            <rFont val="Arial"/>
            <family val="2"/>
          </rPr>
          <t>Imputed: original category was missing. Filled based on similar products = 'Outdoor'.</t>
        </r>
      </text>
    </comment>
    <comment ref="D7" authorId="0" shapeId="0" xr:uid="{00000000-0006-0000-0100-000001000000}">
      <text>
        <r>
          <rPr>
            <sz val="10"/>
            <rFont val="Arial"/>
            <family val="2"/>
          </rPr>
          <t>Imputed: original price was missing. Filled using product-type average = $250.00.</t>
        </r>
      </text>
    </comment>
    <comment ref="F13" authorId="0" shapeId="0" xr:uid="{00000000-0006-0000-0100-000005000000}">
      <text>
        <r>
          <rPr>
            <sz val="10"/>
            <rFont val="Arial"/>
            <family val="2"/>
          </rPr>
          <t>Imputed: original category was missing. Filled based on similar products = 'Fashion'.</t>
        </r>
      </text>
    </comment>
    <comment ref="F14" authorId="0" shapeId="0" xr:uid="{00000000-0006-0000-0100-000006000000}">
      <text>
        <r>
          <rPr>
            <sz val="10"/>
            <rFont val="Arial"/>
            <family val="2"/>
          </rPr>
          <t>Imputed: original category was missing. Filled based on similar products = 'Kitchen'.</t>
        </r>
      </text>
    </comment>
    <comment ref="D21" authorId="0" shapeId="0" xr:uid="{00000000-0006-0000-0100-000002000000}">
      <text>
        <r>
          <rPr>
            <sz val="10"/>
            <rFont val="Arial"/>
            <family val="2"/>
          </rPr>
          <t>Imputed: original price was missing. Filled using category average = $100.00.</t>
        </r>
      </text>
    </comment>
    <comment ref="F24" authorId="0" shapeId="0" xr:uid="{00000000-0006-0000-0100-000007000000}">
      <text>
        <r>
          <rPr>
            <sz val="10"/>
            <rFont val="Arial"/>
            <family val="2"/>
          </rPr>
          <t>Imputed: original category was missing. Filled based on similar products = 'Electronics'.</t>
        </r>
      </text>
    </comment>
    <comment ref="D26" authorId="0" shapeId="0" xr:uid="{00000000-0006-0000-0100-000003000000}">
      <text>
        <r>
          <rPr>
            <sz val="10"/>
            <rFont val="Arial"/>
            <family val="2"/>
          </rPr>
          <t>Imputed: original price was missing. Filled using product-type average = $150.00.</t>
        </r>
      </text>
    </comment>
  </commentList>
</comments>
</file>

<file path=xl/sharedStrings.xml><?xml version="1.0" encoding="utf-8"?>
<sst xmlns="http://schemas.openxmlformats.org/spreadsheetml/2006/main" count="133" uniqueCount="96">
  <si>
    <t>Product ID</t>
  </si>
  <si>
    <t>Product Name</t>
  </si>
  <si>
    <t>Brand Name</t>
  </si>
  <si>
    <t>Price ($)</t>
  </si>
  <si>
    <t>Quantity</t>
  </si>
  <si>
    <t>Category</t>
  </si>
  <si>
    <t>Manufacturing Date</t>
  </si>
  <si>
    <t>Country Code</t>
  </si>
  <si>
    <t>Product Brand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</si>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</sst>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dd\-mm\-yyyy"/>
  </numFmts>
  <fonts count="7" x14ac:knownFonts="1">
    <font>
      <sz val="10"/>
      <color rgb="FF000000"/>
      <name val="Arial"/>
      <charset val="1"/>
    </font>
    <font>
      <b/>
      <sz val="11"/>
      <color theme="1"/>
      <name val="Arial"/>
      <charset val="1"/>
    </font>
    <font>
      <sz val="12"/>
      <color theme="1"/>
      <name val="Times New Roman"/>
      <charset val="1"/>
    </font>
    <font>
      <sz val="11"/>
      <color theme="1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99CCFF"/>
      </patternFill>
    </fill>
    <fill>
      <patternFill patternType="solid">
        <fgColor rgb="FFE0F7FA"/>
        <bgColor rgb="FFCCFFFF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3" fillId="3" borderId="0" xfId="0" applyFont="1" applyFill="1"/>
    <xf numFmtId="0" fontId="5" fillId="0" borderId="0" xfId="0" applyFont="1"/>
    <xf numFmtId="0" fontId="5" fillId="3" borderId="0" xfId="0" applyFont="1" applyFill="1"/>
    <xf numFmtId="0" fontId="4" fillId="4" borderId="1" xfId="0" applyFont="1" applyFill="1" applyBorder="1"/>
    <xf numFmtId="164" fontId="4" fillId="4" borderId="1" xfId="0" applyNumberFormat="1" applyFont="1" applyFill="1" applyBorder="1"/>
    <xf numFmtId="165" fontId="4" fillId="5" borderId="1" xfId="0" applyNumberFormat="1" applyFont="1" applyFill="1" applyBorder="1"/>
    <xf numFmtId="0" fontId="4" fillId="5" borderId="1" xfId="0" applyFont="1" applyFill="1" applyBorder="1"/>
    <xf numFmtId="164" fontId="4" fillId="5" borderId="1" xfId="0" applyNumberFormat="1" applyFont="1" applyFill="1" applyBorder="1"/>
    <xf numFmtId="0" fontId="4" fillId="6" borderId="1" xfId="0" applyFont="1" applyFill="1" applyBorder="1"/>
    <xf numFmtId="164" fontId="4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E0F7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DD0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abSelected="1" zoomScaleNormal="100" workbookViewId="0">
      <selection activeCell="C38" sqref="C38"/>
    </sheetView>
  </sheetViews>
  <sheetFormatPr defaultColWidth="12.6640625" defaultRowHeight="13.2" x14ac:dyDescent="0.25"/>
  <cols>
    <col min="1" max="6" width="14" customWidth="1"/>
    <col min="7" max="7" width="18" customWidth="1"/>
    <col min="8" max="8" width="13" customWidth="1"/>
    <col min="9" max="9" width="22" customWidth="1"/>
  </cols>
  <sheetData>
    <row r="1" spans="1:16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6" ht="15.75" customHeight="1" x14ac:dyDescent="0.25">
      <c r="A2" s="4" t="s">
        <v>9</v>
      </c>
      <c r="B2" s="4" t="s">
        <v>10</v>
      </c>
      <c r="C2" s="4" t="s">
        <v>11</v>
      </c>
      <c r="D2" s="5">
        <v>1000</v>
      </c>
      <c r="E2" s="4">
        <v>30</v>
      </c>
      <c r="F2" s="4" t="s">
        <v>12</v>
      </c>
      <c r="G2" s="6">
        <f t="shared" ref="G2:G32" si="0">DATEVALUE(LEFT(A2,2)&amp;"-"&amp;MID(A2,4,3)&amp;"-2023")</f>
        <v>44954</v>
      </c>
      <c r="H2" s="4" t="str">
        <f t="shared" ref="H2:H32" si="1">RIGHT(A2,2)</f>
        <v>US</v>
      </c>
      <c r="I2" s="4" t="str">
        <f t="shared" ref="I2:I32" si="2">C2&amp;" "&amp;B2</f>
        <v>Dell Laptop</v>
      </c>
    </row>
    <row r="3" spans="1:16" ht="15.75" customHeight="1" x14ac:dyDescent="0.25">
      <c r="A3" s="7" t="s">
        <v>13</v>
      </c>
      <c r="B3" s="7" t="s">
        <v>14</v>
      </c>
      <c r="C3" s="7" t="s">
        <v>15</v>
      </c>
      <c r="D3" s="8">
        <v>80</v>
      </c>
      <c r="E3" s="7">
        <v>15</v>
      </c>
      <c r="F3" s="7" t="s">
        <v>16</v>
      </c>
      <c r="G3" s="6">
        <f t="shared" si="0"/>
        <v>44972</v>
      </c>
      <c r="H3" s="4" t="str">
        <f t="shared" si="1"/>
        <v>US</v>
      </c>
      <c r="I3" s="4" t="str">
        <f t="shared" si="2"/>
        <v>Nike Sneakers</v>
      </c>
      <c r="J3" s="2"/>
      <c r="K3" s="2"/>
      <c r="L3" s="2"/>
      <c r="M3" s="2"/>
      <c r="N3" s="2"/>
      <c r="O3" s="2"/>
      <c r="P3" s="2"/>
    </row>
    <row r="4" spans="1:16" ht="15.75" customHeight="1" x14ac:dyDescent="0.3">
      <c r="A4" s="4" t="s">
        <v>17</v>
      </c>
      <c r="B4" s="4" t="s">
        <v>18</v>
      </c>
      <c r="C4" s="4" t="s">
        <v>19</v>
      </c>
      <c r="D4" s="5">
        <v>130</v>
      </c>
      <c r="E4" s="4">
        <v>40</v>
      </c>
      <c r="F4" s="4" t="s">
        <v>20</v>
      </c>
      <c r="G4" s="6">
        <f t="shared" si="0"/>
        <v>44988</v>
      </c>
      <c r="H4" s="4" t="str">
        <f t="shared" si="1"/>
        <v>US</v>
      </c>
      <c r="I4" s="4" t="str">
        <f t="shared" si="2"/>
        <v>Keurig Coffee Maker</v>
      </c>
      <c r="J4" s="1"/>
      <c r="K4" s="2"/>
      <c r="L4" s="2"/>
      <c r="M4" s="2"/>
      <c r="N4" s="2"/>
      <c r="O4" s="2"/>
      <c r="P4" s="2"/>
    </row>
    <row r="5" spans="1:16" ht="15.75" customHeight="1" x14ac:dyDescent="0.3">
      <c r="A5" s="7" t="s">
        <v>21</v>
      </c>
      <c r="B5" s="7" t="s">
        <v>22</v>
      </c>
      <c r="C5" s="12" t="s">
        <v>23</v>
      </c>
      <c r="D5" s="13">
        <v>900</v>
      </c>
      <c r="E5" s="12">
        <v>25</v>
      </c>
      <c r="F5" s="12" t="s">
        <v>12</v>
      </c>
      <c r="G5" s="14">
        <f t="shared" si="0"/>
        <v>45027</v>
      </c>
      <c r="H5" s="4" t="str">
        <f t="shared" si="1"/>
        <v>US</v>
      </c>
      <c r="I5" s="4" t="str">
        <f t="shared" si="2"/>
        <v>Samsung Smartphone</v>
      </c>
      <c r="J5" s="1"/>
      <c r="K5" s="2"/>
      <c r="L5" s="2"/>
      <c r="M5" s="2"/>
      <c r="N5" s="2"/>
      <c r="O5" s="2"/>
      <c r="P5" s="2"/>
    </row>
    <row r="6" spans="1:16" ht="15.75" customHeight="1" x14ac:dyDescent="0.25">
      <c r="A6" s="4" t="s">
        <v>24</v>
      </c>
      <c r="B6" s="4" t="s">
        <v>25</v>
      </c>
      <c r="C6" s="15" t="s">
        <v>26</v>
      </c>
      <c r="D6" s="16">
        <v>70</v>
      </c>
      <c r="E6" s="15">
        <v>20</v>
      </c>
      <c r="F6" s="17" t="s">
        <v>27</v>
      </c>
      <c r="G6" s="14">
        <f t="shared" si="0"/>
        <v>45068</v>
      </c>
      <c r="H6" s="4" t="str">
        <f t="shared" si="1"/>
        <v>US</v>
      </c>
      <c r="I6" s="4" t="str">
        <f t="shared" si="2"/>
        <v>North Face Backpack</v>
      </c>
    </row>
    <row r="7" spans="1:16" ht="15.75" customHeight="1" x14ac:dyDescent="0.25">
      <c r="A7" s="7" t="s">
        <v>28</v>
      </c>
      <c r="B7" s="7" t="s">
        <v>29</v>
      </c>
      <c r="C7" s="12" t="s">
        <v>30</v>
      </c>
      <c r="D7" s="18">
        <v>250</v>
      </c>
      <c r="E7" s="12">
        <v>45</v>
      </c>
      <c r="F7" s="12" t="s">
        <v>12</v>
      </c>
      <c r="G7" s="14">
        <f t="shared" si="0"/>
        <v>45084</v>
      </c>
      <c r="H7" s="4" t="str">
        <f t="shared" si="1"/>
        <v>UK</v>
      </c>
      <c r="I7" s="4" t="str">
        <f t="shared" si="2"/>
        <v>Sony Headphones</v>
      </c>
    </row>
    <row r="8" spans="1:16" ht="15.75" customHeight="1" x14ac:dyDescent="0.25">
      <c r="A8" s="4" t="s">
        <v>31</v>
      </c>
      <c r="B8" s="4" t="s">
        <v>32</v>
      </c>
      <c r="C8" s="15" t="s">
        <v>33</v>
      </c>
      <c r="D8" s="16">
        <v>30</v>
      </c>
      <c r="E8" s="15">
        <v>5</v>
      </c>
      <c r="F8" s="15" t="s">
        <v>16</v>
      </c>
      <c r="G8" s="14">
        <f t="shared" si="0"/>
        <v>45126</v>
      </c>
      <c r="H8" s="4" t="str">
        <f t="shared" si="1"/>
        <v>UK</v>
      </c>
      <c r="I8" s="4" t="str">
        <f t="shared" si="2"/>
        <v>Adidas T-Shirt</v>
      </c>
    </row>
    <row r="9" spans="1:16" ht="15.75" customHeight="1" x14ac:dyDescent="0.25">
      <c r="A9" s="7" t="s">
        <v>34</v>
      </c>
      <c r="B9" s="7" t="s">
        <v>35</v>
      </c>
      <c r="C9" s="12" t="s">
        <v>36</v>
      </c>
      <c r="D9" s="13">
        <v>90</v>
      </c>
      <c r="E9" s="12">
        <v>35</v>
      </c>
      <c r="F9" s="12" t="s">
        <v>20</v>
      </c>
      <c r="G9" s="14">
        <f t="shared" si="0"/>
        <v>45161</v>
      </c>
      <c r="H9" s="4" t="str">
        <f t="shared" si="1"/>
        <v>UK</v>
      </c>
      <c r="I9" s="4" t="str">
        <f t="shared" si="2"/>
        <v>Ninja Blender</v>
      </c>
    </row>
    <row r="10" spans="1:16" ht="15.75" customHeight="1" x14ac:dyDescent="0.25">
      <c r="A10" s="4" t="s">
        <v>37</v>
      </c>
      <c r="B10" s="4" t="s">
        <v>38</v>
      </c>
      <c r="C10" s="15" t="s">
        <v>39</v>
      </c>
      <c r="D10" s="16">
        <v>500</v>
      </c>
      <c r="E10" s="15">
        <v>50</v>
      </c>
      <c r="F10" s="15" t="s">
        <v>12</v>
      </c>
      <c r="G10" s="14">
        <f t="shared" si="0"/>
        <v>45174</v>
      </c>
      <c r="H10" s="4" t="str">
        <f t="shared" si="1"/>
        <v>UK</v>
      </c>
      <c r="I10" s="4" t="str">
        <f t="shared" si="2"/>
        <v>Apple Tablet</v>
      </c>
    </row>
    <row r="11" spans="1:16" ht="15.75" customHeight="1" x14ac:dyDescent="0.25">
      <c r="A11" s="7" t="s">
        <v>40</v>
      </c>
      <c r="B11" s="7" t="s">
        <v>41</v>
      </c>
      <c r="C11" s="12" t="s">
        <v>42</v>
      </c>
      <c r="D11" s="13">
        <v>130</v>
      </c>
      <c r="E11" s="12">
        <v>10</v>
      </c>
      <c r="F11" s="12" t="s">
        <v>27</v>
      </c>
      <c r="G11" s="14">
        <f t="shared" si="0"/>
        <v>45213</v>
      </c>
      <c r="H11" s="4" t="str">
        <f t="shared" si="1"/>
        <v>UK</v>
      </c>
      <c r="I11" s="4" t="str">
        <f t="shared" si="2"/>
        <v>Timberland Hiking Boots</v>
      </c>
    </row>
    <row r="12" spans="1:16" ht="15.75" customHeight="1" x14ac:dyDescent="0.25">
      <c r="A12" s="4" t="s">
        <v>43</v>
      </c>
      <c r="B12" s="4" t="s">
        <v>10</v>
      </c>
      <c r="C12" s="15" t="s">
        <v>44</v>
      </c>
      <c r="D12" s="16">
        <v>950</v>
      </c>
      <c r="E12" s="15">
        <v>25</v>
      </c>
      <c r="F12" s="15" t="s">
        <v>12</v>
      </c>
      <c r="G12" s="14">
        <f t="shared" si="0"/>
        <v>45094</v>
      </c>
      <c r="H12" s="4" t="str">
        <f t="shared" si="1"/>
        <v>IN</v>
      </c>
      <c r="I12" s="4" t="str">
        <f t="shared" si="2"/>
        <v>HP Laptop</v>
      </c>
    </row>
    <row r="13" spans="1:16" ht="15.75" customHeight="1" x14ac:dyDescent="0.25">
      <c r="A13" s="7" t="s">
        <v>45</v>
      </c>
      <c r="B13" s="7" t="s">
        <v>14</v>
      </c>
      <c r="C13" s="12" t="s">
        <v>33</v>
      </c>
      <c r="D13" s="13">
        <v>90</v>
      </c>
      <c r="E13" s="12">
        <v>40</v>
      </c>
      <c r="F13" s="17" t="s">
        <v>16</v>
      </c>
      <c r="G13" s="14">
        <f t="shared" si="0"/>
        <v>45255</v>
      </c>
      <c r="H13" s="4" t="str">
        <f t="shared" si="1"/>
        <v>AU</v>
      </c>
      <c r="I13" s="4" t="str">
        <f t="shared" si="2"/>
        <v>Adidas Sneakers</v>
      </c>
    </row>
    <row r="14" spans="1:16" ht="15.75" customHeight="1" x14ac:dyDescent="0.25">
      <c r="A14" s="4" t="s">
        <v>46</v>
      </c>
      <c r="B14" s="4" t="s">
        <v>18</v>
      </c>
      <c r="C14" s="15" t="s">
        <v>47</v>
      </c>
      <c r="D14" s="16">
        <v>120</v>
      </c>
      <c r="E14" s="15">
        <v>35</v>
      </c>
      <c r="F14" s="17" t="s">
        <v>20</v>
      </c>
      <c r="G14" s="14">
        <f t="shared" si="0"/>
        <v>45268</v>
      </c>
      <c r="H14" s="4" t="str">
        <f t="shared" si="1"/>
        <v>DE</v>
      </c>
      <c r="I14" s="4" t="str">
        <f t="shared" si="2"/>
        <v>Nespresso Coffee Maker</v>
      </c>
    </row>
    <row r="15" spans="1:16" ht="15.75" customHeight="1" x14ac:dyDescent="0.25">
      <c r="A15" s="7" t="s">
        <v>48</v>
      </c>
      <c r="B15" s="7" t="s">
        <v>49</v>
      </c>
      <c r="C15" s="12" t="s">
        <v>50</v>
      </c>
      <c r="D15" s="13">
        <v>150</v>
      </c>
      <c r="E15" s="12">
        <v>15</v>
      </c>
      <c r="F15" s="12" t="s">
        <v>12</v>
      </c>
      <c r="G15" s="14">
        <f t="shared" si="0"/>
        <v>44975</v>
      </c>
      <c r="H15" s="4" t="str">
        <f t="shared" si="1"/>
        <v>CA</v>
      </c>
      <c r="I15" s="4" t="str">
        <f t="shared" si="2"/>
        <v>Fitbit Smartwatch</v>
      </c>
    </row>
    <row r="16" spans="1:16" ht="15.75" customHeight="1" x14ac:dyDescent="0.25">
      <c r="A16" s="4" t="s">
        <v>51</v>
      </c>
      <c r="B16" s="4" t="s">
        <v>29</v>
      </c>
      <c r="C16" s="15" t="s">
        <v>52</v>
      </c>
      <c r="D16" s="16">
        <v>250</v>
      </c>
      <c r="E16" s="15">
        <v>20</v>
      </c>
      <c r="F16" s="15" t="s">
        <v>12</v>
      </c>
      <c r="G16" s="14">
        <f t="shared" si="0"/>
        <v>45032</v>
      </c>
      <c r="H16" s="4" t="str">
        <f t="shared" si="1"/>
        <v>ES</v>
      </c>
      <c r="I16" s="4" t="str">
        <f t="shared" si="2"/>
        <v>Bose Headphones</v>
      </c>
    </row>
    <row r="17" spans="1:9" ht="15.75" customHeight="1" x14ac:dyDescent="0.25">
      <c r="A17" s="7" t="s">
        <v>53</v>
      </c>
      <c r="B17" s="7" t="s">
        <v>54</v>
      </c>
      <c r="C17" s="12" t="s">
        <v>55</v>
      </c>
      <c r="D17" s="13">
        <v>50</v>
      </c>
      <c r="E17" s="12">
        <v>35</v>
      </c>
      <c r="F17" s="12" t="s">
        <v>56</v>
      </c>
      <c r="G17" s="14">
        <f t="shared" si="0"/>
        <v>45159</v>
      </c>
      <c r="H17" s="4" t="str">
        <f t="shared" si="1"/>
        <v>CA</v>
      </c>
      <c r="I17" s="4" t="str">
        <f t="shared" si="2"/>
        <v>Samsonite Laptop Bag</v>
      </c>
    </row>
    <row r="18" spans="1:9" ht="15.75" customHeight="1" x14ac:dyDescent="0.25">
      <c r="A18" s="4" t="s">
        <v>57</v>
      </c>
      <c r="B18" s="4" t="s">
        <v>49</v>
      </c>
      <c r="C18" s="15" t="s">
        <v>58</v>
      </c>
      <c r="D18" s="16">
        <v>160</v>
      </c>
      <c r="E18" s="15">
        <v>15</v>
      </c>
      <c r="F18" s="15" t="s">
        <v>12</v>
      </c>
      <c r="G18" s="14">
        <f t="shared" si="0"/>
        <v>45158</v>
      </c>
      <c r="H18" s="4" t="str">
        <f t="shared" si="1"/>
        <v>CN</v>
      </c>
      <c r="I18" s="4" t="str">
        <f t="shared" si="2"/>
        <v>Huawei Smartwatch</v>
      </c>
    </row>
    <row r="19" spans="1:9" ht="15.75" customHeight="1" x14ac:dyDescent="0.25">
      <c r="A19" s="7" t="s">
        <v>59</v>
      </c>
      <c r="B19" s="7" t="s">
        <v>10</v>
      </c>
      <c r="C19" s="12" t="s">
        <v>60</v>
      </c>
      <c r="D19" s="13">
        <v>980</v>
      </c>
      <c r="E19" s="12">
        <v>10</v>
      </c>
      <c r="F19" s="12" t="s">
        <v>12</v>
      </c>
      <c r="G19" s="14">
        <f t="shared" si="0"/>
        <v>44953</v>
      </c>
      <c r="H19" s="4" t="str">
        <f t="shared" si="1"/>
        <v>IT</v>
      </c>
      <c r="I19" s="4" t="str">
        <f t="shared" si="2"/>
        <v>Asus Laptop</v>
      </c>
    </row>
    <row r="20" spans="1:9" ht="15.75" customHeight="1" x14ac:dyDescent="0.25">
      <c r="A20" s="4" t="s">
        <v>61</v>
      </c>
      <c r="B20" s="4" t="s">
        <v>62</v>
      </c>
      <c r="C20" s="15" t="s">
        <v>63</v>
      </c>
      <c r="D20" s="16">
        <v>150</v>
      </c>
      <c r="E20" s="15">
        <v>15</v>
      </c>
      <c r="F20" s="15" t="s">
        <v>16</v>
      </c>
      <c r="G20" s="14">
        <f t="shared" si="0"/>
        <v>44986</v>
      </c>
      <c r="H20" s="4" t="str">
        <f t="shared" si="1"/>
        <v>UK</v>
      </c>
      <c r="I20" s="4" t="str">
        <f t="shared" si="2"/>
        <v>Oakley Sunglasses</v>
      </c>
    </row>
    <row r="21" spans="1:9" ht="15.75" customHeight="1" x14ac:dyDescent="0.25">
      <c r="A21" s="7" t="s">
        <v>64</v>
      </c>
      <c r="B21" s="7" t="s">
        <v>65</v>
      </c>
      <c r="C21" s="12" t="s">
        <v>66</v>
      </c>
      <c r="D21" s="18">
        <v>100</v>
      </c>
      <c r="E21" s="12">
        <v>10</v>
      </c>
      <c r="F21" s="12" t="s">
        <v>27</v>
      </c>
      <c r="G21" s="14">
        <f t="shared" si="0"/>
        <v>45152</v>
      </c>
      <c r="H21" s="4" t="str">
        <f t="shared" si="1"/>
        <v>US</v>
      </c>
      <c r="I21" s="4" t="str">
        <f t="shared" si="2"/>
        <v>Coleman Camping Tent</v>
      </c>
    </row>
    <row r="22" spans="1:9" ht="15.75" customHeight="1" x14ac:dyDescent="0.25">
      <c r="A22" s="4" t="s">
        <v>67</v>
      </c>
      <c r="B22" s="4" t="s">
        <v>68</v>
      </c>
      <c r="C22" s="15" t="s">
        <v>69</v>
      </c>
      <c r="D22" s="16">
        <v>700</v>
      </c>
      <c r="E22" s="15">
        <v>50</v>
      </c>
      <c r="F22" s="15" t="s">
        <v>12</v>
      </c>
      <c r="G22" s="14">
        <f t="shared" si="0"/>
        <v>45060</v>
      </c>
      <c r="H22" s="4" t="str">
        <f t="shared" si="1"/>
        <v>RU</v>
      </c>
      <c r="I22" s="4" t="str">
        <f t="shared" si="2"/>
        <v>Nikon Camera</v>
      </c>
    </row>
    <row r="23" spans="1:9" ht="15.75" customHeight="1" x14ac:dyDescent="0.25">
      <c r="A23" s="7" t="s">
        <v>70</v>
      </c>
      <c r="B23" s="7" t="s">
        <v>71</v>
      </c>
      <c r="C23" s="12" t="s">
        <v>72</v>
      </c>
      <c r="D23" s="13">
        <v>80</v>
      </c>
      <c r="E23" s="12">
        <v>20</v>
      </c>
      <c r="F23" s="12" t="s">
        <v>20</v>
      </c>
      <c r="G23" s="14">
        <f t="shared" si="0"/>
        <v>44935</v>
      </c>
      <c r="H23" s="4" t="str">
        <f t="shared" si="1"/>
        <v>CA</v>
      </c>
      <c r="I23" s="4" t="str">
        <f t="shared" si="2"/>
        <v>Panasonic Microwave</v>
      </c>
    </row>
    <row r="24" spans="1:9" ht="15.75" customHeight="1" x14ac:dyDescent="0.25">
      <c r="A24" s="4" t="s">
        <v>73</v>
      </c>
      <c r="B24" s="4" t="s">
        <v>74</v>
      </c>
      <c r="C24" s="15" t="s">
        <v>75</v>
      </c>
      <c r="D24" s="16">
        <v>150</v>
      </c>
      <c r="E24" s="15">
        <v>30</v>
      </c>
      <c r="F24" s="17" t="s">
        <v>12</v>
      </c>
      <c r="G24" s="14">
        <f t="shared" si="0"/>
        <v>45126</v>
      </c>
      <c r="H24" s="4" t="str">
        <f t="shared" si="1"/>
        <v>BR</v>
      </c>
      <c r="I24" s="4" t="str">
        <f t="shared" si="2"/>
        <v>Xiaomi Fitness Tracker</v>
      </c>
    </row>
    <row r="25" spans="1:9" ht="15.75" customHeight="1" x14ac:dyDescent="0.25">
      <c r="A25" s="7" t="s">
        <v>76</v>
      </c>
      <c r="B25" s="7" t="s">
        <v>22</v>
      </c>
      <c r="C25" s="12" t="s">
        <v>77</v>
      </c>
      <c r="D25" s="13">
        <v>800</v>
      </c>
      <c r="E25" s="12">
        <v>45</v>
      </c>
      <c r="F25" s="12" t="s">
        <v>12</v>
      </c>
      <c r="G25" s="14">
        <f t="shared" si="0"/>
        <v>45198</v>
      </c>
      <c r="H25" s="4" t="str">
        <f t="shared" si="1"/>
        <v>CA</v>
      </c>
      <c r="I25" s="4" t="str">
        <f t="shared" si="2"/>
        <v>Google Smartphone</v>
      </c>
    </row>
    <row r="26" spans="1:9" ht="15.75" customHeight="1" x14ac:dyDescent="0.25">
      <c r="A26" s="4" t="s">
        <v>78</v>
      </c>
      <c r="B26" s="4" t="s">
        <v>62</v>
      </c>
      <c r="C26" s="15" t="s">
        <v>79</v>
      </c>
      <c r="D26" s="18">
        <v>150</v>
      </c>
      <c r="E26" s="15">
        <v>25</v>
      </c>
      <c r="F26" s="15" t="s">
        <v>16</v>
      </c>
      <c r="G26" s="14">
        <f t="shared" si="0"/>
        <v>45080</v>
      </c>
      <c r="H26" s="4" t="str">
        <f t="shared" si="1"/>
        <v>CA</v>
      </c>
      <c r="I26" s="4" t="str">
        <f t="shared" si="2"/>
        <v>Ray-Ban Sunglasses</v>
      </c>
    </row>
    <row r="27" spans="1:9" ht="15.75" customHeight="1" x14ac:dyDescent="0.25">
      <c r="A27" s="7" t="s">
        <v>80</v>
      </c>
      <c r="B27" s="7" t="s">
        <v>35</v>
      </c>
      <c r="C27" s="12" t="s">
        <v>81</v>
      </c>
      <c r="D27" s="13">
        <v>400</v>
      </c>
      <c r="E27" s="12">
        <v>40</v>
      </c>
      <c r="F27" s="12" t="s">
        <v>20</v>
      </c>
      <c r="G27" s="14">
        <f t="shared" si="0"/>
        <v>45118</v>
      </c>
      <c r="H27" s="4" t="str">
        <f t="shared" si="1"/>
        <v>CA</v>
      </c>
      <c r="I27" s="4" t="str">
        <f t="shared" si="2"/>
        <v>Vitamix Blender</v>
      </c>
    </row>
    <row r="28" spans="1:9" ht="15.75" customHeight="1" x14ac:dyDescent="0.25">
      <c r="A28" s="4" t="s">
        <v>82</v>
      </c>
      <c r="B28" s="4" t="s">
        <v>83</v>
      </c>
      <c r="C28" s="15" t="s">
        <v>84</v>
      </c>
      <c r="D28" s="16">
        <v>60</v>
      </c>
      <c r="E28" s="15">
        <v>30</v>
      </c>
      <c r="F28" s="15" t="s">
        <v>16</v>
      </c>
      <c r="G28" s="14">
        <f t="shared" si="0"/>
        <v>44992</v>
      </c>
      <c r="H28" s="4" t="str">
        <f t="shared" si="1"/>
        <v>CA</v>
      </c>
      <c r="I28" s="4" t="str">
        <f t="shared" si="2"/>
        <v>Zara Dress</v>
      </c>
    </row>
    <row r="29" spans="1:9" ht="15.75" customHeight="1" x14ac:dyDescent="0.25">
      <c r="A29" s="7" t="s">
        <v>85</v>
      </c>
      <c r="B29" s="7" t="s">
        <v>86</v>
      </c>
      <c r="C29" s="7" t="s">
        <v>87</v>
      </c>
      <c r="D29" s="8">
        <v>40</v>
      </c>
      <c r="E29" s="7">
        <v>10</v>
      </c>
      <c r="F29" s="7" t="s">
        <v>20</v>
      </c>
      <c r="G29" s="6">
        <f t="shared" si="0"/>
        <v>45029</v>
      </c>
      <c r="H29" s="4" t="str">
        <f t="shared" si="1"/>
        <v>CA</v>
      </c>
      <c r="I29" s="4" t="str">
        <f t="shared" si="2"/>
        <v>Hamilton Toaster</v>
      </c>
    </row>
    <row r="30" spans="1:9" ht="15.75" customHeight="1" x14ac:dyDescent="0.25">
      <c r="A30" s="4" t="s">
        <v>88</v>
      </c>
      <c r="B30" s="4" t="s">
        <v>74</v>
      </c>
      <c r="C30" s="4" t="s">
        <v>89</v>
      </c>
      <c r="D30" s="5">
        <v>130</v>
      </c>
      <c r="E30" s="4">
        <v>5</v>
      </c>
      <c r="F30" s="4" t="s">
        <v>12</v>
      </c>
      <c r="G30" s="6">
        <f t="shared" si="0"/>
        <v>45070</v>
      </c>
      <c r="H30" s="4" t="str">
        <f t="shared" si="1"/>
        <v>CA</v>
      </c>
      <c r="I30" s="4" t="str">
        <f t="shared" si="2"/>
        <v>Garmin Fitness Tracker</v>
      </c>
    </row>
    <row r="31" spans="1:9" ht="15.75" customHeight="1" x14ac:dyDescent="0.25">
      <c r="A31" s="7" t="s">
        <v>90</v>
      </c>
      <c r="B31" s="7" t="s">
        <v>91</v>
      </c>
      <c r="C31" s="7" t="s">
        <v>92</v>
      </c>
      <c r="D31" s="8">
        <v>50</v>
      </c>
      <c r="E31" s="7">
        <v>50</v>
      </c>
      <c r="F31" s="7" t="s">
        <v>16</v>
      </c>
      <c r="G31" s="6">
        <f t="shared" si="0"/>
        <v>45262</v>
      </c>
      <c r="H31" s="4" t="str">
        <f t="shared" si="1"/>
        <v>CA</v>
      </c>
      <c r="I31" s="4" t="str">
        <f t="shared" si="2"/>
        <v>Levi's Jeans</v>
      </c>
    </row>
    <row r="32" spans="1:9" ht="15.75" customHeight="1" x14ac:dyDescent="0.25">
      <c r="A32" s="4" t="s">
        <v>93</v>
      </c>
      <c r="B32" s="4" t="s">
        <v>94</v>
      </c>
      <c r="C32" s="4" t="s">
        <v>95</v>
      </c>
      <c r="D32" s="5">
        <v>100</v>
      </c>
      <c r="E32" s="4">
        <v>20</v>
      </c>
      <c r="F32" s="4" t="s">
        <v>56</v>
      </c>
      <c r="G32" s="6">
        <f t="shared" si="0"/>
        <v>45116</v>
      </c>
      <c r="H32" s="4" t="str">
        <f t="shared" si="1"/>
        <v>FR</v>
      </c>
      <c r="I32" s="4" t="str">
        <f t="shared" si="2"/>
        <v>Casio Watch</v>
      </c>
    </row>
    <row r="33" spans="1:6" ht="15.75" customHeight="1" x14ac:dyDescent="0.25">
      <c r="A33" s="9"/>
      <c r="B33" s="9"/>
      <c r="C33" s="9"/>
      <c r="D33" s="9"/>
      <c r="E33" s="9"/>
      <c r="F33" s="9"/>
    </row>
    <row r="34" spans="1:6" ht="15.75" customHeight="1" x14ac:dyDescent="0.25">
      <c r="A34" s="10"/>
      <c r="B34" s="2"/>
      <c r="C34" s="2"/>
      <c r="D34" s="2"/>
      <c r="E34" s="2"/>
      <c r="F34" s="2"/>
    </row>
    <row r="35" spans="1:6" ht="15.75" customHeight="1" x14ac:dyDescent="0.25">
      <c r="A35" s="11"/>
      <c r="B35" s="9"/>
      <c r="C35" s="9"/>
      <c r="D35" s="9"/>
      <c r="E35" s="9"/>
      <c r="F35" s="9"/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Jyothilekshmi Biju</cp:lastModifiedBy>
  <cp:revision>0</cp:revision>
  <dcterms:created xsi:type="dcterms:W3CDTF">2026-08-17T16:09:06Z</dcterms:created>
  <dcterms:modified xsi:type="dcterms:W3CDTF">2026-08-17T16:21:17Z</dcterms:modified>
  <dc:language>en-US</dc:language>
</cp:coreProperties>
</file>